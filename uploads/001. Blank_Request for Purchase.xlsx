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eatonrapidsmedicalcenter-my.sharepoint.com/personal/nmdean_ermchealth_org/Documents/Desktop/RFP's/"/>
    </mc:Choice>
  </mc:AlternateContent>
  <xr:revisionPtr revIDLastSave="641" documentId="13_ncr:1_{C45E865E-C3CE-472A-8E6F-EBE347868783}" xr6:coauthVersionLast="47" xr6:coauthVersionMax="47" xr10:uidLastSave="{3F5641B5-50F9-443D-B764-83BE55EDC939}"/>
  <bookViews>
    <workbookView xWindow="28680" yWindow="-120" windowWidth="29040" windowHeight="16440" xr2:uid="{00000000-000D-0000-FFFF-FFFF00000000}"/>
  </bookViews>
  <sheets>
    <sheet name="RFP" sheetId="1" r:id="rId1"/>
    <sheet name="Account Codes" sheetId="3" r:id="rId2"/>
    <sheet name="Sheet 3" sheetId="4" r:id="rId3"/>
  </sheets>
  <definedNames>
    <definedName name="_xlnm._FilterDatabase" localSheetId="1" hidden="1">'Account Codes'!$A$1:$D$1</definedName>
    <definedName name="DeptNumList">#REF!</definedName>
    <definedName name="EOCNum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8" i="1"/>
  <c r="H19" i="1"/>
  <c r="H20" i="1"/>
  <c r="H21" i="1"/>
  <c r="H22" i="1"/>
  <c r="H23" i="1"/>
  <c r="F24" i="1" l="1"/>
  <c r="H24" i="1" l="1"/>
</calcChain>
</file>

<file path=xl/sharedStrings.xml><?xml version="1.0" encoding="utf-8"?>
<sst xmlns="http://schemas.openxmlformats.org/spreadsheetml/2006/main" count="140" uniqueCount="134">
  <si>
    <t>REQUEST FOR PURCHASE</t>
  </si>
  <si>
    <t>Qty</t>
  </si>
  <si>
    <t>Product No.</t>
  </si>
  <si>
    <t>Full Item Description</t>
  </si>
  <si>
    <t>Cost Each</t>
  </si>
  <si>
    <t>Subtotal</t>
  </si>
  <si>
    <t xml:space="preserve">Budget Item?
</t>
  </si>
  <si>
    <t xml:space="preserve">City: </t>
  </si>
  <si>
    <t xml:space="preserve">State/Zip: </t>
  </si>
  <si>
    <t xml:space="preserve">Phone: </t>
  </si>
  <si>
    <t>Check Amount Requested/Order Totals:</t>
  </si>
  <si>
    <t>Items</t>
  </si>
  <si>
    <t>Requested By:</t>
  </si>
  <si>
    <t>Date:</t>
  </si>
  <si>
    <t xml:space="preserve">         Capital justification is required for items
         exceeding $5,000.</t>
  </si>
  <si>
    <t>Date Requested:</t>
  </si>
  <si>
    <t>Date Needed:</t>
  </si>
  <si>
    <t>Email:</t>
  </si>
  <si>
    <t>Rep/Contact Name:</t>
  </si>
  <si>
    <t>Year:</t>
  </si>
  <si>
    <t>Department:</t>
  </si>
  <si>
    <t>Required Signature Approvals by Dollar Amount</t>
  </si>
  <si>
    <t>CEO:</t>
  </si>
  <si>
    <t>Account to be Charged</t>
  </si>
  <si>
    <t>EOC #</t>
  </si>
  <si>
    <t xml:space="preserve">Dept # </t>
  </si>
  <si>
    <t>Department Name</t>
  </si>
  <si>
    <t>Definitions</t>
  </si>
  <si>
    <t>Administration</t>
  </si>
  <si>
    <t>Auxiliary</t>
  </si>
  <si>
    <t>Cardio (Heart Station)</t>
  </si>
  <si>
    <t>Emergency</t>
  </si>
  <si>
    <t>Endoscopy</t>
  </si>
  <si>
    <t>Environmental Services</t>
  </si>
  <si>
    <t>FCC - Family Care Center</t>
  </si>
  <si>
    <t>Finance</t>
  </si>
  <si>
    <t>FPR/RHC/Redicare</t>
  </si>
  <si>
    <t>HIM - Health Info. Management</t>
  </si>
  <si>
    <t>Human Resources</t>
  </si>
  <si>
    <t>Information Services</t>
  </si>
  <si>
    <t>Laboratory</t>
  </si>
  <si>
    <t>Marketing</t>
  </si>
  <si>
    <t>Medical/Surgical</t>
  </si>
  <si>
    <t>Patient Access</t>
  </si>
  <si>
    <t>Patient Accounts</t>
  </si>
  <si>
    <t>Pharmacy</t>
  </si>
  <si>
    <t>Plant Operations</t>
  </si>
  <si>
    <t>Radiology</t>
  </si>
  <si>
    <t>Rehabilitation</t>
  </si>
  <si>
    <t>Respiratory</t>
  </si>
  <si>
    <t>Risk Management</t>
  </si>
  <si>
    <t>Sleep Center</t>
  </si>
  <si>
    <t>Specialty Clinic</t>
  </si>
  <si>
    <t>Springport</t>
  </si>
  <si>
    <t>Surgery</t>
  </si>
  <si>
    <t>Medical Supplies</t>
  </si>
  <si>
    <t>Drugs</t>
  </si>
  <si>
    <t>IV Solutions</t>
  </si>
  <si>
    <t>Oxygen and Gases</t>
  </si>
  <si>
    <t>Cleaning Supplies</t>
  </si>
  <si>
    <t>Paper Supplies</t>
  </si>
  <si>
    <t>Office Supplies</t>
  </si>
  <si>
    <t>Food</t>
  </si>
  <si>
    <t>Linen</t>
  </si>
  <si>
    <t>Purchased Medical Services (e.g. MRI)</t>
  </si>
  <si>
    <t>Agency Personnel</t>
  </si>
  <si>
    <t>Contract Services</t>
  </si>
  <si>
    <t>Consulting</t>
  </si>
  <si>
    <t>Other Purchased Services (non-clinical)</t>
  </si>
  <si>
    <t>Ind. Dues, Licenses &amp; Accreditation</t>
  </si>
  <si>
    <t>Org. Licenses and Accreditation</t>
  </si>
  <si>
    <t>In-service and Education</t>
  </si>
  <si>
    <t>Public Relations</t>
  </si>
  <si>
    <t>Recruitment</t>
  </si>
  <si>
    <t>Advertising</t>
  </si>
  <si>
    <t>Development - Revenue</t>
  </si>
  <si>
    <t>Travel and Transportation</t>
  </si>
  <si>
    <t>Freight</t>
  </si>
  <si>
    <t>Property Tax</t>
  </si>
  <si>
    <t>Equipment Rental</t>
  </si>
  <si>
    <t>Telephone Expense</t>
  </si>
  <si>
    <t>Communication Technologies (e.g. pagers)</t>
  </si>
  <si>
    <t>Maintenance and Repair</t>
  </si>
  <si>
    <t>Maintenance Contracts</t>
  </si>
  <si>
    <t>Blood</t>
  </si>
  <si>
    <t>Clinical/Surgical Instruments</t>
  </si>
  <si>
    <t>Legal Fees</t>
  </si>
  <si>
    <t>Accounting and Auditing Fees</t>
  </si>
  <si>
    <t>Collection and Banking Fees</t>
  </si>
  <si>
    <t>Electricity</t>
  </si>
  <si>
    <t>Water and Sewer</t>
  </si>
  <si>
    <t>Natural Gas and Fuel</t>
  </si>
  <si>
    <t>Grounds Maintenance</t>
  </si>
  <si>
    <t>Minor Equipment</t>
  </si>
  <si>
    <t>Reason for Purchase or Special Instructions:</t>
  </si>
  <si>
    <t>PO #:</t>
  </si>
  <si>
    <t>OR Inventory</t>
  </si>
  <si>
    <t>Check Payable to:</t>
  </si>
  <si>
    <t>Payment Address:</t>
  </si>
  <si>
    <t>Dept#</t>
  </si>
  <si>
    <t>Clinical Services</t>
  </si>
  <si>
    <t>Infusion</t>
  </si>
  <si>
    <t>Medical Staff</t>
  </si>
  <si>
    <t>Social Work</t>
  </si>
  <si>
    <t>Wound Care</t>
  </si>
  <si>
    <t>Anesthesia</t>
  </si>
  <si>
    <t>Dietary</t>
  </si>
  <si>
    <t>Material Management</t>
  </si>
  <si>
    <t>Books and Subcriptions</t>
  </si>
  <si>
    <t>Nuc Med</t>
  </si>
  <si>
    <r>
      <t xml:space="preserve">*Note: Electronic Requests </t>
    </r>
    <r>
      <rPr>
        <b/>
        <sz val="11"/>
        <color theme="1"/>
        <rFont val="Calibri"/>
        <family val="2"/>
      </rPr>
      <t>≤ $5,000 May Submit Department Manager Approval by Email</t>
    </r>
  </si>
  <si>
    <r>
      <t xml:space="preserve">Total Items </t>
    </r>
    <r>
      <rPr>
        <sz val="11"/>
        <color theme="1"/>
        <rFont val="Calibri"/>
        <family val="2"/>
      </rPr>
      <t>≤</t>
    </r>
    <r>
      <rPr>
        <sz val="11"/>
        <color theme="1"/>
        <rFont val="Calibri"/>
        <family val="2"/>
        <scheme val="minor"/>
      </rPr>
      <t xml:space="preserve"> $5,000</t>
    </r>
  </si>
  <si>
    <t>$5,001 - $25,000</t>
  </si>
  <si>
    <t>CFO OR COO:</t>
  </si>
  <si>
    <t>$25,001 - $50,000</t>
  </si>
  <si>
    <r>
      <t xml:space="preserve">$100,000 </t>
    </r>
    <r>
      <rPr>
        <sz val="11"/>
        <color theme="1"/>
        <rFont val="Calibri"/>
        <family val="2"/>
      </rPr>
      <t>≤</t>
    </r>
    <r>
      <rPr>
        <sz val="11"/>
        <color theme="1"/>
        <rFont val="Calibri"/>
        <family val="2"/>
        <scheme val="minor"/>
      </rPr>
      <t xml:space="preserve"> Total Items</t>
    </r>
  </si>
  <si>
    <t>$50,001 - $100,000</t>
  </si>
  <si>
    <t>the Board of Directors:</t>
  </si>
  <si>
    <t>Board of Directors:</t>
  </si>
  <si>
    <t>Finance Committee of</t>
  </si>
  <si>
    <t>Manager/Director:</t>
  </si>
  <si>
    <t>MJRI Clinic</t>
  </si>
  <si>
    <t>MJRI Radiology</t>
  </si>
  <si>
    <t>MJRI Rehab</t>
  </si>
  <si>
    <t>Prepaid Insurance</t>
  </si>
  <si>
    <t>Prepaid Maintance</t>
  </si>
  <si>
    <t>ER Physcian Fees</t>
  </si>
  <si>
    <t>ITS</t>
  </si>
  <si>
    <t>Link</t>
  </si>
  <si>
    <t>Notes</t>
  </si>
  <si>
    <t>ASAP</t>
  </si>
  <si>
    <t>Noah Dean</t>
  </si>
  <si>
    <t>Katie Grace</t>
  </si>
  <si>
    <t>DELIVER TO 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</si>
</sst>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8"/>
      <color rgb="FF000000"/>
      <name val="Tahoma"/>
      <family val="2"/>
    </font>
    <font>
      <b/>
      <sz val="14"/>
      <color rgb="FFFF0000"/>
      <name val="Calibri"/>
      <family val="2"/>
      <scheme val="minor"/>
    </font>
    <font>
      <sz val="11"/>
      <color rgb="FF0F1111"/>
      <name val="Arial"/>
      <family val="2"/>
    </font>
    <font>
      <sz val="11"/>
      <color rgb="FF15040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DashDot">
        <color auto="1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9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0" fillId="0" borderId="2" xfId="0" applyBorder="1" applyAlignment="1">
      <alignment horizontal="center" vertical="center" wrapText="1"/>
    </xf>
    <xf numFmtId="44" fontId="4" fillId="2" borderId="5" xfId="1" applyFont="1" applyFill="1" applyBorder="1" applyAlignment="1">
      <alignment wrapText="1"/>
    </xf>
    <xf numFmtId="0" fontId="4" fillId="2" borderId="3" xfId="0" applyFont="1" applyFill="1" applyBorder="1"/>
    <xf numFmtId="44" fontId="4" fillId="2" borderId="2" xfId="1" applyFont="1" applyFill="1" applyBorder="1" applyAlignment="1">
      <alignment wrapText="1"/>
    </xf>
    <xf numFmtId="0" fontId="0" fillId="0" borderId="0" xfId="0" applyAlignment="1">
      <alignment horizontal="center"/>
    </xf>
    <xf numFmtId="44" fontId="0" fillId="0" borderId="2" xfId="1" applyFont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44" fontId="0" fillId="0" borderId="2" xfId="1" applyFont="1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4" fillId="0" borderId="0" xfId="0" applyFont="1"/>
    <xf numFmtId="44" fontId="4" fillId="0" borderId="0" xfId="1" applyFont="1" applyFill="1" applyBorder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0" fillId="0" borderId="6" xfId="0" applyBorder="1" applyAlignment="1">
      <alignment horizontal="right"/>
    </xf>
    <xf numFmtId="0" fontId="0" fillId="0" borderId="9" xfId="0" applyBorder="1"/>
    <xf numFmtId="0" fontId="0" fillId="0" borderId="10" xfId="0" applyBorder="1"/>
    <xf numFmtId="0" fontId="0" fillId="0" borderId="9" xfId="0" applyBorder="1" applyAlignment="1">
      <alignment horizontal="right"/>
    </xf>
    <xf numFmtId="0" fontId="0" fillId="0" borderId="11" xfId="0" applyBorder="1"/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0" fillId="0" borderId="9" xfId="0" applyBorder="1" applyAlignment="1">
      <alignment horizontal="right" vertical="center"/>
    </xf>
    <xf numFmtId="0" fontId="0" fillId="0" borderId="11" xfId="0" applyBorder="1" applyAlignment="1">
      <alignment vertical="top"/>
    </xf>
    <xf numFmtId="0" fontId="0" fillId="0" borderId="0" xfId="0" applyAlignment="1">
      <alignment horizontal="left"/>
    </xf>
    <xf numFmtId="0" fontId="0" fillId="0" borderId="1" xfId="0" applyBorder="1"/>
    <xf numFmtId="14" fontId="0" fillId="0" borderId="1" xfId="0" applyNumberForma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14" fontId="0" fillId="0" borderId="0" xfId="0" applyNumberFormat="1"/>
    <xf numFmtId="44" fontId="4" fillId="0" borderId="0" xfId="1" applyFont="1" applyFill="1" applyBorder="1" applyAlignment="1">
      <alignment horizontal="left" wrapText="1"/>
    </xf>
    <xf numFmtId="44" fontId="0" fillId="0" borderId="2" xfId="1" applyFont="1" applyBorder="1" applyAlignment="1">
      <alignment horizontal="left" vertical="center" wrapText="1"/>
    </xf>
    <xf numFmtId="0" fontId="7" fillId="0" borderId="0" xfId="2" applyAlignment="1"/>
    <xf numFmtId="44" fontId="4" fillId="2" borderId="2" xfId="1" applyFont="1" applyFill="1" applyBorder="1" applyAlignment="1">
      <alignment horizontal="left" wrapText="1"/>
    </xf>
    <xf numFmtId="44" fontId="7" fillId="0" borderId="2" xfId="2" applyNumberForma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7" fillId="0" borderId="2" xfId="2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13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14" fontId="0" fillId="0" borderId="5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right"/>
    </xf>
    <xf numFmtId="0" fontId="4" fillId="2" borderId="5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4" xfId="0" applyBorder="1" applyAlignment="1">
      <alignment horizontal="right"/>
    </xf>
    <xf numFmtId="0" fontId="4" fillId="2" borderId="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7" fillId="0" borderId="5" xfId="2" applyBorder="1" applyAlignment="1">
      <alignment horizontal="left" vertical="top"/>
    </xf>
    <xf numFmtId="0" fontId="0" fillId="0" borderId="12" xfId="0" applyBorder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457200</xdr:colOff>
          <xdr:row>6</xdr:row>
          <xdr:rowOff>28575</xdr:rowOff>
        </xdr:from>
        <xdr:to>
          <xdr:col>4</xdr:col>
          <xdr:colOff>133350</xdr:colOff>
          <xdr:row>7</xdr:row>
          <xdr:rowOff>9525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Capital Justification (Worksheet Attached)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10</xdr:row>
          <xdr:rowOff>9525</xdr:rowOff>
        </xdr:from>
        <xdr:to>
          <xdr:col>1</xdr:col>
          <xdr:colOff>571500</xdr:colOff>
          <xdr:row>10</xdr:row>
          <xdr:rowOff>228600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10</xdr:row>
          <xdr:rowOff>9525</xdr:rowOff>
        </xdr:from>
        <xdr:to>
          <xdr:col>2</xdr:col>
          <xdr:colOff>428625</xdr:colOff>
          <xdr:row>10</xdr:row>
          <xdr:rowOff>228600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457200</xdr:colOff>
          <xdr:row>5</xdr:row>
          <xdr:rowOff>28575</xdr:rowOff>
        </xdr:from>
        <xdr:to>
          <xdr:col>4</xdr:col>
          <xdr:colOff>133350</xdr:colOff>
          <xdr:row>6</xdr:row>
          <xdr:rowOff>9525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Request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2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Z48"/>
  <sheetViews>
    <sheetView tabSelected="1" zoomScale="85" zoomScaleNormal="85" workbookViewId="0">
      <selection activeCell="J17" sqref="J17"/>
    </sheetView>
  </sheetViews>
  <sheetFormatPr defaultRowHeight="15" x14ac:dyDescent="0.25"/>
  <cols>
    <col min="1" max="1" width="15.28515625" customWidth="1"/>
    <col min="2" max="2" width="10.28515625" customWidth="1"/>
    <col min="3" max="3" width="12.7109375" customWidth="1"/>
    <col min="4" max="4" width="2.28515625" customWidth="1"/>
    <col min="5" max="5" width="29.42578125" customWidth="1"/>
    <col min="6" max="6" width="6.42578125" customWidth="1"/>
    <col min="7" max="8" width="12.7109375" customWidth="1"/>
    <col min="9" max="9" width="40.7109375" customWidth="1"/>
    <col min="10" max="10" width="20.42578125" customWidth="1"/>
  </cols>
  <sheetData>
    <row r="1" spans="1:12" ht="18.75" x14ac:dyDescent="0.3">
      <c r="A1" s="60" t="s">
        <v>0</v>
      </c>
      <c r="B1" s="60"/>
      <c r="C1" s="60"/>
      <c r="D1" s="60"/>
      <c r="E1" s="60"/>
      <c r="F1" s="60"/>
      <c r="G1" s="60"/>
      <c r="H1" s="60"/>
      <c r="I1" s="2"/>
      <c r="J1" s="1"/>
      <c r="K1" s="1"/>
      <c r="L1" s="1"/>
    </row>
    <row r="2" spans="1:12" ht="11.25" customHeight="1" x14ac:dyDescent="0.3">
      <c r="A2" s="2"/>
      <c r="B2" s="2"/>
      <c r="C2" s="2"/>
      <c r="D2" s="2"/>
      <c r="E2" s="2"/>
      <c r="F2" s="2"/>
      <c r="G2" s="2"/>
      <c r="H2" s="2"/>
      <c r="I2" s="2"/>
      <c r="J2" s="1"/>
      <c r="K2" s="1"/>
      <c r="L2" s="1"/>
    </row>
    <row r="3" spans="1:12" ht="18.75" customHeight="1" x14ac:dyDescent="0.25">
      <c r="A3" s="18" t="s">
        <v>95</v>
      </c>
      <c r="B3" s="61"/>
      <c r="C3" s="62"/>
      <c r="D3" s="23"/>
      <c r="E3" s="18" t="s">
        <v>97</v>
      </c>
      <c r="F3" s="58"/>
      <c r="G3" s="58"/>
      <c r="H3" s="59"/>
      <c r="I3" s="37"/>
    </row>
    <row r="4" spans="1:12" ht="18.75" customHeight="1" x14ac:dyDescent="0.25">
      <c r="A4" s="21" t="s">
        <v>15</v>
      </c>
      <c r="B4" s="65">
        <v>46164</v>
      </c>
      <c r="C4" s="66"/>
      <c r="E4" s="25"/>
      <c r="F4" s="58"/>
      <c r="G4" s="58"/>
      <c r="H4" s="59"/>
      <c r="I4" s="37"/>
    </row>
    <row r="5" spans="1:12" ht="18.75" customHeight="1" x14ac:dyDescent="0.25">
      <c r="A5" s="21" t="s">
        <v>16</v>
      </c>
      <c r="B5" s="63" t="s">
        <v>130</v>
      </c>
      <c r="C5" s="64"/>
      <c r="D5" s="23"/>
      <c r="E5" s="21" t="s">
        <v>98</v>
      </c>
      <c r="F5" s="56"/>
      <c r="G5" s="56"/>
      <c r="H5" s="57"/>
      <c r="I5" s="37"/>
    </row>
    <row r="6" spans="1:12" ht="18.75" customHeight="1" x14ac:dyDescent="0.25">
      <c r="A6" s="67"/>
      <c r="B6" s="68"/>
      <c r="C6" s="69"/>
      <c r="E6" s="25"/>
      <c r="F6" s="58"/>
      <c r="G6" s="58"/>
      <c r="H6" s="59"/>
      <c r="I6" s="37"/>
    </row>
    <row r="7" spans="1:12" ht="18.75" customHeight="1" x14ac:dyDescent="0.25">
      <c r="A7" s="67"/>
      <c r="B7" s="68"/>
      <c r="C7" s="69"/>
      <c r="D7" s="10"/>
      <c r="E7" s="21" t="s">
        <v>7</v>
      </c>
      <c r="F7" s="56"/>
      <c r="G7" s="56"/>
      <c r="H7" s="57"/>
      <c r="I7" s="37"/>
    </row>
    <row r="8" spans="1:12" ht="18.75" customHeight="1" x14ac:dyDescent="0.25">
      <c r="A8" s="70" t="s">
        <v>14</v>
      </c>
      <c r="B8" s="71"/>
      <c r="C8" s="72"/>
      <c r="D8" s="24"/>
      <c r="E8" s="21" t="s">
        <v>8</v>
      </c>
      <c r="F8" s="58"/>
      <c r="G8" s="58"/>
      <c r="H8" s="59"/>
      <c r="I8" s="37"/>
    </row>
    <row r="9" spans="1:12" ht="18.75" customHeight="1" x14ac:dyDescent="0.25">
      <c r="A9" s="70"/>
      <c r="B9" s="71"/>
      <c r="C9" s="72"/>
      <c r="D9" s="24"/>
      <c r="E9" s="19"/>
      <c r="F9" s="54"/>
      <c r="G9" s="54"/>
      <c r="H9" s="55"/>
      <c r="I9" s="37"/>
    </row>
    <row r="10" spans="1:12" ht="18.75" customHeight="1" x14ac:dyDescent="0.25">
      <c r="A10" s="89"/>
      <c r="B10" s="50"/>
      <c r="C10" s="90"/>
      <c r="E10" s="21" t="s">
        <v>18</v>
      </c>
      <c r="F10" s="56"/>
      <c r="G10" s="56"/>
      <c r="H10" s="57"/>
      <c r="I10" s="37"/>
    </row>
    <row r="11" spans="1:12" ht="18.75" customHeight="1" x14ac:dyDescent="0.25">
      <c r="A11" s="21" t="s">
        <v>6</v>
      </c>
      <c r="C11" s="20"/>
      <c r="E11" s="21" t="s">
        <v>17</v>
      </c>
      <c r="F11" s="97"/>
      <c r="G11" s="58"/>
      <c r="H11" s="59"/>
      <c r="I11" s="37"/>
    </row>
    <row r="12" spans="1:12" ht="18.75" customHeight="1" x14ac:dyDescent="0.25">
      <c r="A12" s="21" t="s">
        <v>19</v>
      </c>
      <c r="B12" s="53"/>
      <c r="C12" s="98"/>
      <c r="D12" s="8"/>
      <c r="E12" s="21" t="s">
        <v>9</v>
      </c>
      <c r="F12" s="58"/>
      <c r="G12" s="58"/>
      <c r="H12" s="59"/>
      <c r="I12" s="37"/>
    </row>
    <row r="13" spans="1:12" ht="11.25" customHeight="1" x14ac:dyDescent="0.25">
      <c r="A13" s="22"/>
      <c r="B13" s="91"/>
      <c r="C13" s="92"/>
      <c r="E13" s="26"/>
      <c r="F13" s="58"/>
      <c r="G13" s="58"/>
      <c r="H13" s="59"/>
      <c r="I13" s="37"/>
    </row>
    <row r="14" spans="1:12" ht="11.25" customHeight="1" x14ac:dyDescent="0.25">
      <c r="E14" s="3"/>
      <c r="F14" s="3"/>
      <c r="G14" s="3"/>
      <c r="H14" s="3"/>
      <c r="I14" s="3"/>
    </row>
    <row r="15" spans="1:12" ht="15" customHeight="1" x14ac:dyDescent="0.25">
      <c r="A15" s="75" t="s">
        <v>2</v>
      </c>
      <c r="B15" s="75" t="s">
        <v>23</v>
      </c>
      <c r="C15" s="75"/>
      <c r="D15" s="93" t="s">
        <v>3</v>
      </c>
      <c r="E15" s="94"/>
      <c r="F15" s="75" t="s">
        <v>1</v>
      </c>
      <c r="G15" s="75" t="s">
        <v>4</v>
      </c>
      <c r="H15" s="75" t="s">
        <v>5</v>
      </c>
      <c r="I15" s="75" t="s">
        <v>129</v>
      </c>
      <c r="J15" s="75" t="s">
        <v>128</v>
      </c>
    </row>
    <row r="16" spans="1:12" x14ac:dyDescent="0.25">
      <c r="A16" s="75"/>
      <c r="B16" s="16" t="s">
        <v>25</v>
      </c>
      <c r="C16" s="17" t="s">
        <v>24</v>
      </c>
      <c r="D16" s="95"/>
      <c r="E16" s="96"/>
      <c r="F16" s="75"/>
      <c r="G16" s="75"/>
      <c r="H16" s="75"/>
      <c r="I16" s="75"/>
      <c r="J16" s="75"/>
    </row>
    <row r="17" spans="1:26" ht="36" customHeight="1" x14ac:dyDescent="0.25">
      <c r="A17" s="47"/>
      <c r="B17" s="46"/>
      <c r="C17" s="45"/>
      <c r="D17" s="73"/>
      <c r="E17" s="74"/>
      <c r="F17" s="4"/>
      <c r="G17" s="12"/>
      <c r="H17" s="9">
        <f>+F17*G17</f>
        <v>0</v>
      </c>
      <c r="I17" s="41"/>
      <c r="J17" s="44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37.5" customHeight="1" x14ac:dyDescent="0.25">
      <c r="A18" s="48"/>
      <c r="B18" s="4"/>
      <c r="C18" s="4"/>
      <c r="D18" s="73"/>
      <c r="E18" s="74"/>
      <c r="F18" s="4"/>
      <c r="G18" s="12"/>
      <c r="H18" s="9">
        <f>+F18*G18</f>
        <v>0</v>
      </c>
      <c r="I18" s="41"/>
      <c r="J18" s="49"/>
    </row>
    <row r="19" spans="1:26" ht="44.25" customHeight="1" x14ac:dyDescent="0.25">
      <c r="A19" s="4"/>
      <c r="B19" s="4"/>
      <c r="C19" s="4"/>
      <c r="D19" s="73"/>
      <c r="E19" s="74"/>
      <c r="F19" s="4"/>
      <c r="G19" s="12"/>
      <c r="H19" s="9">
        <f t="shared" ref="H19:H22" si="0">+F19*G19</f>
        <v>0</v>
      </c>
      <c r="I19" s="41"/>
      <c r="J19" s="44"/>
    </row>
    <row r="20" spans="1:26" x14ac:dyDescent="0.25">
      <c r="A20" s="4"/>
      <c r="B20" s="4"/>
      <c r="C20" s="4"/>
      <c r="D20" s="73"/>
      <c r="E20" s="74"/>
      <c r="F20" s="4"/>
      <c r="G20" s="12"/>
      <c r="H20" s="9">
        <f t="shared" si="0"/>
        <v>0</v>
      </c>
      <c r="I20" s="41"/>
      <c r="J20" s="44"/>
    </row>
    <row r="21" spans="1:26" ht="34.5" customHeight="1" x14ac:dyDescent="0.25">
      <c r="A21" s="4"/>
      <c r="B21" s="4"/>
      <c r="C21" s="4"/>
      <c r="D21" s="73"/>
      <c r="E21" s="74"/>
      <c r="F21" s="4"/>
      <c r="G21" s="12"/>
      <c r="H21" s="9">
        <f t="shared" si="0"/>
        <v>0</v>
      </c>
      <c r="I21" s="41"/>
      <c r="J21" s="44"/>
    </row>
    <row r="22" spans="1:26" ht="60" customHeight="1" x14ac:dyDescent="0.25">
      <c r="A22" s="4"/>
      <c r="B22" s="4"/>
      <c r="C22" s="4"/>
      <c r="D22" s="73"/>
      <c r="E22" s="74"/>
      <c r="F22" s="4"/>
      <c r="G22" s="12"/>
      <c r="H22" s="9">
        <f t="shared" si="0"/>
        <v>0</v>
      </c>
      <c r="I22" s="41"/>
      <c r="J22" s="44"/>
    </row>
    <row r="23" spans="1:26" x14ac:dyDescent="0.25">
      <c r="A23" s="4"/>
      <c r="B23" s="4"/>
      <c r="C23" s="4"/>
      <c r="D23" s="73"/>
      <c r="E23" s="74"/>
      <c r="F23" s="4"/>
      <c r="G23" s="12"/>
      <c r="H23" s="9">
        <f t="shared" ref="H23" si="1">+F23*G23</f>
        <v>0</v>
      </c>
      <c r="I23" s="41"/>
      <c r="J23" s="41"/>
    </row>
    <row r="24" spans="1:26" x14ac:dyDescent="0.25">
      <c r="A24" s="86" t="s">
        <v>10</v>
      </c>
      <c r="B24" s="87"/>
      <c r="C24" s="87"/>
      <c r="D24" s="87"/>
      <c r="E24" s="88"/>
      <c r="F24" s="6">
        <f>SUM(F17:F23)</f>
        <v>0</v>
      </c>
      <c r="G24" s="5" t="s">
        <v>11</v>
      </c>
      <c r="H24" s="7">
        <f>SUM(H17:H23)</f>
        <v>0</v>
      </c>
      <c r="I24" s="43"/>
      <c r="J24" s="43"/>
    </row>
    <row r="25" spans="1:26" x14ac:dyDescent="0.25">
      <c r="A25" s="13"/>
      <c r="B25" s="13"/>
      <c r="C25" s="13"/>
      <c r="D25" s="13"/>
      <c r="E25" s="13"/>
      <c r="F25" s="14"/>
      <c r="G25" s="15"/>
      <c r="H25" s="15"/>
      <c r="I25" s="40"/>
    </row>
    <row r="26" spans="1:26" x14ac:dyDescent="0.25">
      <c r="A26" s="85" t="s">
        <v>94</v>
      </c>
      <c r="B26" s="85"/>
      <c r="C26" s="85"/>
      <c r="D26" s="85"/>
      <c r="E26" s="85"/>
      <c r="F26" s="85"/>
      <c r="G26" s="85"/>
      <c r="H26" s="85"/>
      <c r="I26" s="35"/>
    </row>
    <row r="27" spans="1:26" s="11" customFormat="1" x14ac:dyDescent="0.25">
      <c r="A27" s="76" t="s">
        <v>133</v>
      </c>
      <c r="B27" s="77"/>
      <c r="C27" s="77"/>
      <c r="D27" s="77"/>
      <c r="E27" s="77"/>
      <c r="F27" s="77"/>
      <c r="G27" s="77"/>
      <c r="H27" s="78"/>
      <c r="I27" s="38"/>
    </row>
    <row r="28" spans="1:26" s="11" customFormat="1" x14ac:dyDescent="0.25">
      <c r="A28" s="79"/>
      <c r="B28" s="80"/>
      <c r="C28" s="80"/>
      <c r="D28" s="80"/>
      <c r="E28" s="80"/>
      <c r="F28" s="80"/>
      <c r="G28" s="80"/>
      <c r="H28" s="81"/>
      <c r="I28" s="38"/>
    </row>
    <row r="29" spans="1:26" s="11" customFormat="1" x14ac:dyDescent="0.25">
      <c r="A29" s="82"/>
      <c r="B29" s="83"/>
      <c r="C29" s="83"/>
      <c r="D29" s="83"/>
      <c r="E29" s="83"/>
      <c r="F29" s="83"/>
      <c r="G29" s="83"/>
      <c r="H29" s="84"/>
      <c r="I29" s="38"/>
    </row>
    <row r="30" spans="1:26" x14ac:dyDescent="0.25">
      <c r="A30" s="8"/>
      <c r="B30" s="8"/>
      <c r="C30" s="8"/>
      <c r="D30" s="8"/>
      <c r="E30" s="8"/>
      <c r="F30" s="8"/>
      <c r="G30" s="8"/>
      <c r="H30" s="8"/>
      <c r="I30" s="8"/>
    </row>
    <row r="31" spans="1:26" x14ac:dyDescent="0.25">
      <c r="A31" s="10" t="s">
        <v>12</v>
      </c>
      <c r="B31" s="53" t="s">
        <v>131</v>
      </c>
      <c r="C31" s="53"/>
      <c r="D31" s="53"/>
      <c r="E31" s="53"/>
      <c r="F31" s="53"/>
      <c r="G31" s="10" t="s">
        <v>13</v>
      </c>
      <c r="H31" s="29">
        <v>46164</v>
      </c>
      <c r="I31" s="39"/>
    </row>
    <row r="32" spans="1:26" x14ac:dyDescent="0.25">
      <c r="A32" s="10"/>
      <c r="B32" s="8"/>
      <c r="C32" s="8"/>
      <c r="D32" s="8"/>
      <c r="E32" s="8"/>
      <c r="F32" s="10"/>
      <c r="G32" s="27"/>
      <c r="H32" s="27"/>
      <c r="I32" s="27"/>
    </row>
    <row r="33" spans="1:9" x14ac:dyDescent="0.25">
      <c r="A33" s="10" t="s">
        <v>20</v>
      </c>
      <c r="B33" s="53" t="s">
        <v>127</v>
      </c>
      <c r="C33" s="53"/>
      <c r="D33" s="53"/>
      <c r="E33" s="53"/>
      <c r="F33" s="53"/>
      <c r="G33" s="8"/>
      <c r="H33" s="8"/>
      <c r="I33" s="8"/>
    </row>
    <row r="34" spans="1:9" x14ac:dyDescent="0.25">
      <c r="A34" s="10"/>
      <c r="B34" s="8"/>
      <c r="C34" s="8"/>
      <c r="D34" s="8"/>
      <c r="E34" s="8"/>
      <c r="F34" s="8"/>
      <c r="G34" s="8"/>
      <c r="H34" s="8"/>
      <c r="I34" s="8"/>
    </row>
    <row r="35" spans="1:9" x14ac:dyDescent="0.25">
      <c r="A35" s="52" t="s">
        <v>21</v>
      </c>
      <c r="B35" s="52"/>
      <c r="C35" s="52"/>
      <c r="D35" s="52"/>
      <c r="E35" s="52"/>
      <c r="F35" s="52"/>
      <c r="G35" s="52"/>
      <c r="H35" s="52"/>
      <c r="I35" s="36"/>
    </row>
    <row r="36" spans="1:9" x14ac:dyDescent="0.25">
      <c r="A36" s="52" t="s">
        <v>110</v>
      </c>
      <c r="B36" s="52"/>
      <c r="C36" s="52"/>
      <c r="D36" s="52"/>
      <c r="E36" s="52"/>
      <c r="F36" s="52"/>
      <c r="G36" s="52"/>
      <c r="H36" s="52"/>
      <c r="I36" s="36"/>
    </row>
    <row r="37" spans="1:9" x14ac:dyDescent="0.25">
      <c r="A37" s="10"/>
      <c r="B37" s="8"/>
      <c r="C37" s="8"/>
      <c r="D37" s="8"/>
      <c r="E37" s="8"/>
      <c r="F37" s="8"/>
      <c r="G37" s="8"/>
      <c r="H37" s="8"/>
      <c r="I37" s="8"/>
    </row>
    <row r="38" spans="1:9" x14ac:dyDescent="0.25">
      <c r="A38" s="10" t="s">
        <v>111</v>
      </c>
      <c r="B38" s="50" t="s">
        <v>120</v>
      </c>
      <c r="C38" s="50"/>
      <c r="D38" s="53" t="s">
        <v>132</v>
      </c>
      <c r="E38" s="53"/>
      <c r="F38" s="53"/>
      <c r="G38" s="10" t="s">
        <v>13</v>
      </c>
      <c r="H38" s="29">
        <v>46164</v>
      </c>
      <c r="I38" s="39"/>
    </row>
    <row r="39" spans="1:9" ht="15.75" thickBot="1" x14ac:dyDescent="0.3">
      <c r="A39" s="51"/>
      <c r="B39" s="51"/>
      <c r="C39" s="51"/>
      <c r="D39" s="51"/>
      <c r="E39" s="51"/>
      <c r="F39" s="51"/>
      <c r="G39" s="51"/>
      <c r="H39" s="51"/>
      <c r="I39" s="8"/>
    </row>
    <row r="40" spans="1:9" x14ac:dyDescent="0.25">
      <c r="A40" s="10"/>
      <c r="B40" s="10"/>
      <c r="C40" s="10"/>
      <c r="D40" s="8"/>
      <c r="E40" s="8"/>
      <c r="F40" s="10"/>
      <c r="G40" s="27"/>
      <c r="H40" s="27"/>
      <c r="I40" s="27"/>
    </row>
    <row r="41" spans="1:9" x14ac:dyDescent="0.25">
      <c r="A41" s="10" t="s">
        <v>112</v>
      </c>
      <c r="B41" s="50" t="s">
        <v>113</v>
      </c>
      <c r="C41" s="50"/>
      <c r="D41" s="53"/>
      <c r="E41" s="53"/>
      <c r="F41" s="53"/>
      <c r="G41" s="10" t="s">
        <v>13</v>
      </c>
      <c r="H41" s="28"/>
    </row>
    <row r="42" spans="1:9" x14ac:dyDescent="0.25">
      <c r="A42" s="10"/>
      <c r="B42" s="10"/>
      <c r="C42" s="10"/>
      <c r="D42" s="8"/>
      <c r="E42" s="8"/>
      <c r="F42" s="10"/>
      <c r="G42" s="10"/>
      <c r="H42" s="27"/>
      <c r="I42" s="27"/>
    </row>
    <row r="43" spans="1:9" x14ac:dyDescent="0.25">
      <c r="A43" s="10" t="s">
        <v>114</v>
      </c>
      <c r="B43" s="50" t="s">
        <v>22</v>
      </c>
      <c r="C43" s="50"/>
      <c r="D43" s="53"/>
      <c r="E43" s="53"/>
      <c r="F43" s="53"/>
      <c r="G43" s="10" t="s">
        <v>13</v>
      </c>
      <c r="H43" s="28"/>
    </row>
    <row r="44" spans="1:9" x14ac:dyDescent="0.25">
      <c r="A44" s="10"/>
      <c r="B44" s="10"/>
      <c r="C44" s="10"/>
      <c r="D44" s="8"/>
      <c r="E44" s="8"/>
      <c r="F44" s="10"/>
      <c r="G44" s="10"/>
      <c r="H44" s="27"/>
      <c r="I44" s="27"/>
    </row>
    <row r="45" spans="1:9" x14ac:dyDescent="0.25">
      <c r="A45" s="10" t="s">
        <v>116</v>
      </c>
      <c r="B45" s="50" t="s">
        <v>119</v>
      </c>
      <c r="C45" s="50"/>
    </row>
    <row r="46" spans="1:9" x14ac:dyDescent="0.25">
      <c r="B46" s="50" t="s">
        <v>117</v>
      </c>
      <c r="C46" s="50"/>
      <c r="D46" s="53"/>
      <c r="E46" s="53"/>
      <c r="F46" s="53"/>
      <c r="G46" s="10" t="s">
        <v>13</v>
      </c>
      <c r="H46" s="28"/>
    </row>
    <row r="47" spans="1:9" x14ac:dyDescent="0.25">
      <c r="B47" s="10"/>
      <c r="C47" s="10"/>
    </row>
    <row r="48" spans="1:9" x14ac:dyDescent="0.25">
      <c r="A48" s="10" t="s">
        <v>115</v>
      </c>
      <c r="B48" s="50" t="s">
        <v>118</v>
      </c>
      <c r="C48" s="50"/>
      <c r="D48" s="53"/>
      <c r="E48" s="53"/>
      <c r="F48" s="53"/>
      <c r="G48" s="10" t="s">
        <v>13</v>
      </c>
      <c r="H48" s="28"/>
    </row>
  </sheetData>
  <mergeCells count="55">
    <mergeCell ref="I15:I16"/>
    <mergeCell ref="J15:J16"/>
    <mergeCell ref="A10:C10"/>
    <mergeCell ref="B13:C13"/>
    <mergeCell ref="F13:H13"/>
    <mergeCell ref="D15:E16"/>
    <mergeCell ref="F10:H10"/>
    <mergeCell ref="F11:H11"/>
    <mergeCell ref="B12:C12"/>
    <mergeCell ref="F12:H12"/>
    <mergeCell ref="D17:E17"/>
    <mergeCell ref="F15:F16"/>
    <mergeCell ref="G15:G16"/>
    <mergeCell ref="H15:H16"/>
    <mergeCell ref="B15:C15"/>
    <mergeCell ref="D20:E20"/>
    <mergeCell ref="A15:A16"/>
    <mergeCell ref="B48:C48"/>
    <mergeCell ref="D48:F48"/>
    <mergeCell ref="B46:C46"/>
    <mergeCell ref="D18:E18"/>
    <mergeCell ref="D23:E23"/>
    <mergeCell ref="A27:H29"/>
    <mergeCell ref="A26:H26"/>
    <mergeCell ref="D21:E21"/>
    <mergeCell ref="D22:E22"/>
    <mergeCell ref="D19:E19"/>
    <mergeCell ref="A24:E24"/>
    <mergeCell ref="D41:F41"/>
    <mergeCell ref="D43:F43"/>
    <mergeCell ref="D46:F46"/>
    <mergeCell ref="F9:H9"/>
    <mergeCell ref="F7:H7"/>
    <mergeCell ref="F8:H8"/>
    <mergeCell ref="A1:H1"/>
    <mergeCell ref="F3:H3"/>
    <mergeCell ref="F4:H4"/>
    <mergeCell ref="F5:H5"/>
    <mergeCell ref="F6:H6"/>
    <mergeCell ref="B3:C3"/>
    <mergeCell ref="B5:C5"/>
    <mergeCell ref="B4:C4"/>
    <mergeCell ref="A7:C7"/>
    <mergeCell ref="A6:C6"/>
    <mergeCell ref="A8:C9"/>
    <mergeCell ref="B31:F31"/>
    <mergeCell ref="B33:F33"/>
    <mergeCell ref="B38:C38"/>
    <mergeCell ref="B41:C41"/>
    <mergeCell ref="B43:C43"/>
    <mergeCell ref="B45:C45"/>
    <mergeCell ref="A39:H39"/>
    <mergeCell ref="A35:H35"/>
    <mergeCell ref="D38:F38"/>
    <mergeCell ref="A36:H36"/>
  </mergeCells>
  <printOptions horizontalCentered="1" verticalCentered="1"/>
  <pageMargins left="0.7" right="0.7" top="0.75" bottom="0.75" header="0.3" footer="0.3"/>
  <pageSetup scale="69" orientation="landscape" r:id="rId1"/>
  <headerFooter>
    <oddHeader>&amp;L&amp;G</oddHeader>
    <oddFooter>&amp;LMAT-001-062816 (REV 08-24)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7" r:id="rId5" name="Check Box 13">
              <controlPr defaultSize="0" autoFill="0" autoLine="0" autoPict="0">
                <anchor moveWithCells="1">
                  <from>
                    <xdr:col>0</xdr:col>
                    <xdr:colOff>457200</xdr:colOff>
                    <xdr:row>6</xdr:row>
                    <xdr:rowOff>28575</xdr:rowOff>
                  </from>
                  <to>
                    <xdr:col>4</xdr:col>
                    <xdr:colOff>133350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6" name="Check Box 22">
              <controlPr defaultSize="0" autoFill="0" autoLine="0" autoPict="0">
                <anchor moveWithCells="1">
                  <from>
                    <xdr:col>1</xdr:col>
                    <xdr:colOff>85725</xdr:colOff>
                    <xdr:row>10</xdr:row>
                    <xdr:rowOff>9525</xdr:rowOff>
                  </from>
                  <to>
                    <xdr:col>1</xdr:col>
                    <xdr:colOff>571500</xdr:colOff>
                    <xdr:row>10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7" name="Check Box 23">
              <controlPr defaultSize="0" autoFill="0" autoLine="0" autoPict="0">
                <anchor moveWithCells="1">
                  <from>
                    <xdr:col>2</xdr:col>
                    <xdr:colOff>9525</xdr:colOff>
                    <xdr:row>10</xdr:row>
                    <xdr:rowOff>9525</xdr:rowOff>
                  </from>
                  <to>
                    <xdr:col>2</xdr:col>
                    <xdr:colOff>428625</xdr:colOff>
                    <xdr:row>10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8" name="Check Box 24">
              <controlPr defaultSize="0" autoFill="0" autoLine="0" autoPict="0">
                <anchor moveWithCells="1">
                  <from>
                    <xdr:col>0</xdr:col>
                    <xdr:colOff>457200</xdr:colOff>
                    <xdr:row>5</xdr:row>
                    <xdr:rowOff>28575</xdr:rowOff>
                  </from>
                  <to>
                    <xdr:col>4</xdr:col>
                    <xdr:colOff>133350</xdr:colOff>
                    <xdr:row>6</xdr:row>
                    <xdr:rowOff>9525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1E4760B-C715-447B-9F82-739F4D6B2ACD}">
          <x14:formula1>
            <xm:f>'Account Codes'!$B$2:$B$43</xm:f>
          </x14:formula1>
          <xm:sqref>B17:B23</xm:sqref>
        </x14:dataValidation>
        <x14:dataValidation type="list" allowBlank="1" showInputMessage="1" showErrorMessage="1" xr:uid="{00000000-0002-0000-0000-000001000000}">
          <x14:formula1>
            <xm:f>'Account Codes'!$C$2:$C$42</xm:f>
          </x14:formula1>
          <xm:sqref>C17:C23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50"/>
  <sheetViews>
    <sheetView topLeftCell="A7" zoomScaleNormal="100" workbookViewId="0">
      <selection activeCell="A23" sqref="A23"/>
    </sheetView>
  </sheetViews>
  <sheetFormatPr defaultRowHeight="15" x14ac:dyDescent="0.25"/>
  <cols>
    <col min="1" max="1" width="40.5703125" customWidth="1"/>
    <col min="2" max="2" width="12.42578125" customWidth="1"/>
    <col min="3" max="3" width="11.5703125" customWidth="1"/>
    <col min="4" max="4" width="41.7109375" bestFit="1" customWidth="1"/>
  </cols>
  <sheetData>
    <row r="1" spans="1:4" x14ac:dyDescent="0.25">
      <c r="A1" s="32" t="s">
        <v>26</v>
      </c>
      <c r="B1" s="33" t="s">
        <v>99</v>
      </c>
      <c r="C1" s="34" t="s">
        <v>24</v>
      </c>
      <c r="D1" s="32" t="s">
        <v>27</v>
      </c>
    </row>
    <row r="2" spans="1:4" x14ac:dyDescent="0.25">
      <c r="A2" t="s">
        <v>124</v>
      </c>
      <c r="B2" s="31">
        <v>1181</v>
      </c>
      <c r="C2" s="30">
        <v>2000</v>
      </c>
      <c r="D2" t="s">
        <v>55</v>
      </c>
    </row>
    <row r="3" spans="1:4" x14ac:dyDescent="0.25">
      <c r="A3" t="s">
        <v>125</v>
      </c>
      <c r="B3" s="31">
        <v>1189</v>
      </c>
      <c r="C3" s="30">
        <v>2100</v>
      </c>
      <c r="D3" t="s">
        <v>56</v>
      </c>
    </row>
    <row r="4" spans="1:4" x14ac:dyDescent="0.25">
      <c r="A4" t="s">
        <v>100</v>
      </c>
      <c r="B4" s="31">
        <v>6115</v>
      </c>
      <c r="C4" s="30">
        <v>2200</v>
      </c>
      <c r="D4" t="s">
        <v>84</v>
      </c>
    </row>
    <row r="5" spans="1:4" x14ac:dyDescent="0.25">
      <c r="A5" t="s">
        <v>50</v>
      </c>
      <c r="B5" s="31">
        <v>6150</v>
      </c>
      <c r="C5" s="30">
        <v>2300</v>
      </c>
      <c r="D5" t="s">
        <v>57</v>
      </c>
    </row>
    <row r="6" spans="1:4" x14ac:dyDescent="0.25">
      <c r="A6" t="s">
        <v>42</v>
      </c>
      <c r="B6" s="31">
        <v>6200</v>
      </c>
      <c r="C6" s="30">
        <v>2400</v>
      </c>
      <c r="D6" t="s">
        <v>58</v>
      </c>
    </row>
    <row r="7" spans="1:4" x14ac:dyDescent="0.25">
      <c r="A7" t="s">
        <v>54</v>
      </c>
      <c r="B7" s="31">
        <v>6500</v>
      </c>
      <c r="C7" s="30">
        <v>2600</v>
      </c>
      <c r="D7" t="s">
        <v>59</v>
      </c>
    </row>
    <row r="8" spans="1:4" x14ac:dyDescent="0.25">
      <c r="A8" t="s">
        <v>31</v>
      </c>
      <c r="B8" s="31">
        <v>6600</v>
      </c>
      <c r="C8" s="30">
        <v>2700</v>
      </c>
      <c r="D8" t="s">
        <v>60</v>
      </c>
    </row>
    <row r="9" spans="1:4" x14ac:dyDescent="0.25">
      <c r="A9" t="s">
        <v>96</v>
      </c>
      <c r="B9" s="31">
        <v>6800</v>
      </c>
      <c r="C9" s="30">
        <v>2900</v>
      </c>
      <c r="D9" t="s">
        <v>61</v>
      </c>
    </row>
    <row r="10" spans="1:4" x14ac:dyDescent="0.25">
      <c r="A10" t="s">
        <v>40</v>
      </c>
      <c r="B10" s="31">
        <v>7100</v>
      </c>
      <c r="C10" s="30">
        <v>3000</v>
      </c>
      <c r="D10" t="s">
        <v>62</v>
      </c>
    </row>
    <row r="11" spans="1:4" x14ac:dyDescent="0.25">
      <c r="A11" t="s">
        <v>47</v>
      </c>
      <c r="B11" s="31">
        <v>7200</v>
      </c>
      <c r="C11" s="30">
        <v>3100</v>
      </c>
      <c r="D11" t="s">
        <v>85</v>
      </c>
    </row>
    <row r="12" spans="1:4" x14ac:dyDescent="0.25">
      <c r="A12" t="s">
        <v>109</v>
      </c>
      <c r="B12" s="31">
        <v>7210</v>
      </c>
      <c r="C12" s="30">
        <v>3300</v>
      </c>
      <c r="D12" t="s">
        <v>108</v>
      </c>
    </row>
    <row r="13" spans="1:4" x14ac:dyDescent="0.25">
      <c r="A13" t="s">
        <v>49</v>
      </c>
      <c r="B13" s="31">
        <v>7310</v>
      </c>
      <c r="C13" s="30">
        <v>3400</v>
      </c>
      <c r="D13" t="s">
        <v>63</v>
      </c>
    </row>
    <row r="14" spans="1:4" x14ac:dyDescent="0.25">
      <c r="A14" t="s">
        <v>51</v>
      </c>
      <c r="B14" s="31">
        <v>7315</v>
      </c>
      <c r="C14" s="30">
        <v>3900</v>
      </c>
      <c r="D14" t="s">
        <v>64</v>
      </c>
    </row>
    <row r="15" spans="1:4" x14ac:dyDescent="0.25">
      <c r="A15" t="s">
        <v>52</v>
      </c>
      <c r="B15" s="31">
        <v>7320</v>
      </c>
      <c r="C15" s="30">
        <v>4100</v>
      </c>
      <c r="D15" t="s">
        <v>65</v>
      </c>
    </row>
    <row r="16" spans="1:4" x14ac:dyDescent="0.25">
      <c r="A16" t="s">
        <v>101</v>
      </c>
      <c r="B16" s="31">
        <v>7330</v>
      </c>
      <c r="C16" s="30">
        <v>4200</v>
      </c>
      <c r="D16" t="s">
        <v>66</v>
      </c>
    </row>
    <row r="17" spans="1:4" x14ac:dyDescent="0.25">
      <c r="A17" t="s">
        <v>32</v>
      </c>
      <c r="B17" s="31">
        <v>7340</v>
      </c>
      <c r="C17" s="30">
        <v>4300</v>
      </c>
      <c r="D17" t="s">
        <v>67</v>
      </c>
    </row>
    <row r="18" spans="1:4" x14ac:dyDescent="0.25">
      <c r="A18" t="s">
        <v>30</v>
      </c>
      <c r="B18" s="31">
        <v>7350</v>
      </c>
      <c r="C18" s="30">
        <v>4400</v>
      </c>
      <c r="D18" t="s">
        <v>68</v>
      </c>
    </row>
    <row r="19" spans="1:4" x14ac:dyDescent="0.25">
      <c r="A19" t="s">
        <v>53</v>
      </c>
      <c r="B19" s="31">
        <v>7360</v>
      </c>
      <c r="C19" s="30">
        <v>4500</v>
      </c>
      <c r="D19" t="s">
        <v>86</v>
      </c>
    </row>
    <row r="20" spans="1:4" x14ac:dyDescent="0.25">
      <c r="A20" t="s">
        <v>36</v>
      </c>
      <c r="B20" s="31">
        <v>7370</v>
      </c>
      <c r="C20" s="30">
        <v>4600</v>
      </c>
      <c r="D20" t="s">
        <v>87</v>
      </c>
    </row>
    <row r="21" spans="1:4" x14ac:dyDescent="0.25">
      <c r="A21" t="s">
        <v>103</v>
      </c>
      <c r="B21" s="31">
        <v>7372</v>
      </c>
      <c r="C21" s="30">
        <v>4000</v>
      </c>
      <c r="D21" t="s">
        <v>126</v>
      </c>
    </row>
    <row r="22" spans="1:4" x14ac:dyDescent="0.25">
      <c r="A22" t="s">
        <v>102</v>
      </c>
      <c r="B22" s="31">
        <v>7373</v>
      </c>
      <c r="C22" s="30">
        <v>4700</v>
      </c>
      <c r="D22" t="s">
        <v>88</v>
      </c>
    </row>
    <row r="23" spans="1:4" x14ac:dyDescent="0.25">
      <c r="A23" t="s">
        <v>121</v>
      </c>
      <c r="B23" s="31">
        <v>7380</v>
      </c>
      <c r="C23" s="30">
        <v>4800</v>
      </c>
      <c r="D23" t="s">
        <v>70</v>
      </c>
    </row>
    <row r="24" spans="1:4" x14ac:dyDescent="0.25">
      <c r="A24" t="s">
        <v>122</v>
      </c>
      <c r="B24" s="31">
        <v>7381</v>
      </c>
      <c r="C24" s="30">
        <v>5100</v>
      </c>
      <c r="D24" t="s">
        <v>71</v>
      </c>
    </row>
    <row r="25" spans="1:4" x14ac:dyDescent="0.25">
      <c r="A25" t="s">
        <v>123</v>
      </c>
      <c r="B25" s="31">
        <v>7382</v>
      </c>
      <c r="C25" s="30">
        <v>5200</v>
      </c>
      <c r="D25" t="s">
        <v>72</v>
      </c>
    </row>
    <row r="26" spans="1:4" x14ac:dyDescent="0.25">
      <c r="A26" t="s">
        <v>45</v>
      </c>
      <c r="B26" s="31">
        <v>7400</v>
      </c>
      <c r="C26" s="30">
        <v>5300</v>
      </c>
      <c r="D26" t="s">
        <v>73</v>
      </c>
    </row>
    <row r="27" spans="1:4" x14ac:dyDescent="0.25">
      <c r="A27" t="s">
        <v>104</v>
      </c>
      <c r="B27" s="31">
        <v>7450</v>
      </c>
      <c r="C27" s="30">
        <v>5400</v>
      </c>
      <c r="D27" t="s">
        <v>74</v>
      </c>
    </row>
    <row r="28" spans="1:4" x14ac:dyDescent="0.25">
      <c r="A28" t="s">
        <v>105</v>
      </c>
      <c r="B28" s="31">
        <v>7500</v>
      </c>
      <c r="C28" s="30">
        <v>5500</v>
      </c>
      <c r="D28" t="s">
        <v>75</v>
      </c>
    </row>
    <row r="29" spans="1:4" x14ac:dyDescent="0.25">
      <c r="A29" t="s">
        <v>34</v>
      </c>
      <c r="B29" s="31">
        <v>7600</v>
      </c>
      <c r="C29" s="30">
        <v>5600</v>
      </c>
      <c r="D29" t="s">
        <v>76</v>
      </c>
    </row>
    <row r="30" spans="1:4" x14ac:dyDescent="0.25">
      <c r="A30" t="s">
        <v>48</v>
      </c>
      <c r="B30" s="31">
        <v>7810</v>
      </c>
      <c r="C30" s="30">
        <v>5700</v>
      </c>
      <c r="D30" t="s">
        <v>77</v>
      </c>
    </row>
    <row r="31" spans="1:4" x14ac:dyDescent="0.25">
      <c r="A31" t="s">
        <v>106</v>
      </c>
      <c r="B31" s="31">
        <v>8110</v>
      </c>
      <c r="C31" s="30">
        <v>5900</v>
      </c>
      <c r="D31" t="s">
        <v>69</v>
      </c>
    </row>
    <row r="32" spans="1:4" x14ac:dyDescent="0.25">
      <c r="A32" t="s">
        <v>46</v>
      </c>
      <c r="B32" s="31">
        <v>8230</v>
      </c>
      <c r="C32" s="30">
        <v>6000</v>
      </c>
      <c r="D32" t="s">
        <v>78</v>
      </c>
    </row>
    <row r="33" spans="1:4" x14ac:dyDescent="0.25">
      <c r="A33" t="s">
        <v>33</v>
      </c>
      <c r="B33" s="31">
        <v>8310</v>
      </c>
      <c r="C33" s="30">
        <v>6100</v>
      </c>
      <c r="D33" t="s">
        <v>89</v>
      </c>
    </row>
    <row r="34" spans="1:4" x14ac:dyDescent="0.25">
      <c r="A34" t="s">
        <v>35</v>
      </c>
      <c r="B34" s="31">
        <v>8410</v>
      </c>
      <c r="C34" s="30">
        <v>6300</v>
      </c>
      <c r="D34" t="s">
        <v>90</v>
      </c>
    </row>
    <row r="35" spans="1:4" x14ac:dyDescent="0.25">
      <c r="A35" t="s">
        <v>39</v>
      </c>
      <c r="B35" s="31">
        <v>8430</v>
      </c>
      <c r="C35" s="30">
        <v>6400</v>
      </c>
      <c r="D35" t="s">
        <v>91</v>
      </c>
    </row>
    <row r="36" spans="1:4" x14ac:dyDescent="0.25">
      <c r="A36" t="s">
        <v>44</v>
      </c>
      <c r="B36" s="31">
        <v>8510</v>
      </c>
      <c r="C36" s="30">
        <v>6500</v>
      </c>
      <c r="D36" t="s">
        <v>79</v>
      </c>
    </row>
    <row r="37" spans="1:4" x14ac:dyDescent="0.25">
      <c r="A37" t="s">
        <v>43</v>
      </c>
      <c r="B37" s="31">
        <v>8530</v>
      </c>
      <c r="C37" s="30">
        <v>6510</v>
      </c>
      <c r="D37" t="s">
        <v>93</v>
      </c>
    </row>
    <row r="38" spans="1:4" x14ac:dyDescent="0.25">
      <c r="A38" t="s">
        <v>107</v>
      </c>
      <c r="B38" s="31">
        <v>8610</v>
      </c>
      <c r="C38" s="30">
        <v>6600</v>
      </c>
      <c r="D38" t="s">
        <v>80</v>
      </c>
    </row>
    <row r="39" spans="1:4" x14ac:dyDescent="0.25">
      <c r="A39" t="s">
        <v>37</v>
      </c>
      <c r="B39" s="8">
        <v>8750</v>
      </c>
      <c r="C39" s="8">
        <v>6700</v>
      </c>
      <c r="D39" t="s">
        <v>81</v>
      </c>
    </row>
    <row r="40" spans="1:4" x14ac:dyDescent="0.25">
      <c r="A40" t="s">
        <v>28</v>
      </c>
      <c r="B40" s="8">
        <v>8810</v>
      </c>
      <c r="C40" s="8">
        <v>6800</v>
      </c>
      <c r="D40" t="s">
        <v>82</v>
      </c>
    </row>
    <row r="41" spans="1:4" x14ac:dyDescent="0.25">
      <c r="A41" t="s">
        <v>38</v>
      </c>
      <c r="B41" s="8">
        <v>8830</v>
      </c>
      <c r="C41" s="8">
        <v>6900</v>
      </c>
      <c r="D41" t="s">
        <v>83</v>
      </c>
    </row>
    <row r="42" spans="1:4" x14ac:dyDescent="0.25">
      <c r="A42" t="s">
        <v>41</v>
      </c>
      <c r="B42" s="8">
        <v>8850</v>
      </c>
      <c r="C42" s="8">
        <v>7000</v>
      </c>
      <c r="D42" t="s">
        <v>92</v>
      </c>
    </row>
    <row r="43" spans="1:4" x14ac:dyDescent="0.25">
      <c r="A43" t="s">
        <v>29</v>
      </c>
      <c r="B43" s="8">
        <v>9090</v>
      </c>
    </row>
    <row r="47" spans="1:4" x14ac:dyDescent="0.25">
      <c r="B47" s="8"/>
    </row>
    <row r="48" spans="1:4" x14ac:dyDescent="0.25">
      <c r="B48" s="8"/>
    </row>
    <row r="49" spans="2:2" x14ac:dyDescent="0.25">
      <c r="B49" s="8"/>
    </row>
    <row r="50" spans="2:2" x14ac:dyDescent="0.25">
      <c r="B50" s="8"/>
    </row>
  </sheetData>
  <autoFilter ref="A1:D1" xr:uid="{00000000-0001-0000-0200-000000000000}">
    <sortState xmlns:xlrd2="http://schemas.microsoft.com/office/spreadsheetml/2017/richdata2" ref="A2:D46">
      <sortCondition ref="B1"/>
    </sortState>
  </autoFilter>
  <pageMargins left="0.7" right="0.7" top="0.75" bottom="0.75" header="0.3" footer="0.3"/>
  <pageSetup scale="7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C2F94-0749-4E78-87DC-5B89EC80098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RFP</vt:lpstr>
      <vt:lpstr>Account Codes</vt:lpstr>
      <vt:lpstr>Sheet 3</vt:lpstr>
    </vt:vector>
  </TitlesOfParts>
  <Company>Eaton Rapids Medical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khustonsmith</dc:creator>
  <cp:lastModifiedBy>Noah M Dean</cp:lastModifiedBy>
  <cp:lastPrinted>2026-04-14T19:44:31Z</cp:lastPrinted>
  <dcterms:created xsi:type="dcterms:W3CDTF">2018-03-16T15:43:53Z</dcterms:created>
  <dcterms:modified xsi:type="dcterms:W3CDTF">2026-05-22T18:40:42Z</dcterms:modified>
</cp:coreProperties>
</file>